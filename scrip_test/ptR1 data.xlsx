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Hz" sheetId="1" r:id="rId5"/>
    <sheet state="visible" name="Odometry Trajectory angle" sheetId="2" r:id="rId6"/>
    <sheet state="visible" name="Odometry Trajectory linear X" sheetId="3" r:id="rId7"/>
    <sheet state="visible" name="Odometry Trajectory linear Y" sheetId="4" r:id="rId8"/>
  </sheets>
  <definedNames/>
  <calcPr/>
</workbook>
</file>

<file path=xl/sharedStrings.xml><?xml version="1.0" encoding="utf-8"?>
<sst xmlns="http://schemas.openxmlformats.org/spreadsheetml/2006/main" count="118" uniqueCount="54">
  <si>
    <t>ทวนเข็ม</t>
  </si>
  <si>
    <t>1 rad/s 1800 องศา</t>
  </si>
  <si>
    <t>Target_Angle(deg)</t>
  </si>
  <si>
    <t>Actual_Angle(deg)</t>
  </si>
  <si>
    <t>Error(deg)</t>
  </si>
  <si>
    <t>Time_Elapsed(sec)</t>
  </si>
  <si>
    <t>Max_Speed(rad/s)</t>
  </si>
  <si>
    <t>battery</t>
  </si>
  <si>
    <t>time1</t>
  </si>
  <si>
    <t>time2</t>
  </si>
  <si>
    <t>time3</t>
  </si>
  <si>
    <t>time4</t>
  </si>
  <si>
    <t>time5</t>
  </si>
  <si>
    <t>test01</t>
  </si>
  <si>
    <t>test02</t>
  </si>
  <si>
    <t>test03</t>
  </si>
  <si>
    <t>test04</t>
  </si>
  <si>
    <t>test05</t>
  </si>
  <si>
    <t>test06</t>
  </si>
  <si>
    <t>test07</t>
  </si>
  <si>
    <t>test08</t>
  </si>
  <si>
    <t>test09</t>
  </si>
  <si>
    <t>test10</t>
  </si>
  <si>
    <t>ตามเข็ม</t>
  </si>
  <si>
    <t>X+</t>
  </si>
  <si>
    <t>3 m 0.3 m/s</t>
  </si>
  <si>
    <t>X Error (cm)</t>
  </si>
  <si>
    <t>Y Error (cm)</t>
  </si>
  <si>
    <t>time(s)</t>
  </si>
  <si>
    <t>batt</t>
  </si>
  <si>
    <t>test 01</t>
  </si>
  <si>
    <t>85%--&gt;60%</t>
  </si>
  <si>
    <t>test 02</t>
  </si>
  <si>
    <t>Forward</t>
  </si>
  <si>
    <t>test 03</t>
  </si>
  <si>
    <t>test 04</t>
  </si>
  <si>
    <t>test 05</t>
  </si>
  <si>
    <t>test 06</t>
  </si>
  <si>
    <t>test 07</t>
  </si>
  <si>
    <t>test 08</t>
  </si>
  <si>
    <t>test 09</t>
  </si>
  <si>
    <t>test 10</t>
  </si>
  <si>
    <t>X-</t>
  </si>
  <si>
    <t>60% --&gt;45%</t>
  </si>
  <si>
    <t>Backward</t>
  </si>
  <si>
    <t>Y+</t>
  </si>
  <si>
    <t>2 m 0.3 m/s</t>
  </si>
  <si>
    <t>X error (cm)</t>
  </si>
  <si>
    <t>Y error (cm)</t>
  </si>
  <si>
    <t>42% --&gt; 27</t>
  </si>
  <si>
    <t>Left side</t>
  </si>
  <si>
    <t>Y-</t>
  </si>
  <si>
    <t xml:space="preserve"> 2m 0.3 m/s</t>
  </si>
  <si>
    <t>right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</si>
</sst>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 Error (cm) และ Y Error (cm)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'Odometry Trajectory linear X'!$B$2:$B$3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'Odometry Trajectory linear X'!$A$4:$A$13</c:f>
            </c:strRef>
          </c:cat>
          <c:val>
            <c:numRef>
              <c:f>'Odometry Trajectory linear X'!$B$4:$B$13</c:f>
              <c:numCache/>
            </c:numRef>
          </c:val>
        </c:ser>
        <c:ser>
          <c:idx val="1"/>
          <c:order val="1"/>
          <c:tx>
            <c:strRef>
              <c:f>'Odometry Trajectory linear X'!$C$2:$C$3</c:f>
            </c:strRef>
          </c:tx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'Odometry Trajectory linear X'!$A$4:$A$13</c:f>
            </c:strRef>
          </c:cat>
          <c:val>
            <c:numRef>
              <c:f>'Odometry Trajectory linear X'!$C$4:$C$13</c:f>
              <c:numCache/>
            </c:numRef>
          </c:val>
        </c:ser>
        <c:axId val="2021755298"/>
        <c:axId val="1509694458"/>
      </c:barChart>
      <c:catAx>
        <c:axId val="2021755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3 m 0.3 m/s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694458"/>
      </c:catAx>
      <c:valAx>
        <c:axId val="1509694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7552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0</xdr:row>
      <xdr:rowOff>85725</xdr:rowOff>
    </xdr:from>
    <xdr:ext cx="6172200" cy="3362325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5.13"/>
    <col customWidth="1" min="3" max="3" width="18.75"/>
    <col customWidth="1" min="4" max="4" width="9.88"/>
    <col customWidth="1" min="5" max="5" width="15.38"/>
    <col customWidth="1" min="6" max="6" width="16.38"/>
    <col customWidth="1" min="9" max="9" width="6.0"/>
    <col customWidth="1" min="10" max="10" width="6.38"/>
    <col customWidth="1" min="11" max="11" width="6.13"/>
    <col customWidth="1" min="12" max="12" width="5.75"/>
    <col customWidth="1" min="13" max="13" width="5.5"/>
  </cols>
  <sheetData>
    <row r="2">
      <c r="A2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>
      <c r="A4" s="1" t="s">
        <v>13</v>
      </c>
      <c r="B4" s="2">
        <v>1800.0</v>
      </c>
      <c r="C4" s="3">
        <v>1807.0</v>
      </c>
      <c r="D4" s="1">
        <v>7.0</v>
      </c>
      <c r="E4" s="4">
        <f t="shared" ref="E4:E13" si="1">sum(I4:M4)</f>
        <v>40.87</v>
      </c>
      <c r="F4" s="1">
        <v>1.0</v>
      </c>
      <c r="G4" s="1">
        <v>100.0</v>
      </c>
      <c r="I4" s="1">
        <v>7.9</v>
      </c>
      <c r="J4" s="1">
        <v>7.9</v>
      </c>
      <c r="K4" s="1">
        <v>7.95</v>
      </c>
      <c r="L4" s="1">
        <v>9.22</v>
      </c>
      <c r="M4" s="1">
        <v>7.9</v>
      </c>
    </row>
    <row r="5">
      <c r="A5" s="1" t="s">
        <v>14</v>
      </c>
      <c r="B5" s="2">
        <v>1800.0</v>
      </c>
      <c r="C5" s="1">
        <v>1819.0</v>
      </c>
      <c r="D5" s="1">
        <v>19.0</v>
      </c>
      <c r="E5" s="4">
        <f t="shared" si="1"/>
        <v>39.651</v>
      </c>
      <c r="F5" s="1">
        <v>1.0</v>
      </c>
      <c r="G5" s="1">
        <v>100.0</v>
      </c>
      <c r="I5" s="1">
        <v>8.007</v>
      </c>
      <c r="J5" s="1">
        <v>7.852</v>
      </c>
      <c r="K5" s="1">
        <v>7.944</v>
      </c>
      <c r="L5" s="1">
        <v>7.896</v>
      </c>
      <c r="M5" s="1">
        <v>7.952</v>
      </c>
    </row>
    <row r="6">
      <c r="A6" s="1" t="s">
        <v>15</v>
      </c>
      <c r="B6" s="2">
        <v>1800.0</v>
      </c>
      <c r="C6" s="1">
        <v>1809.0</v>
      </c>
      <c r="D6" s="1">
        <v>9.0</v>
      </c>
      <c r="E6" s="4">
        <f t="shared" si="1"/>
        <v>39.63</v>
      </c>
      <c r="F6" s="1">
        <v>1.0</v>
      </c>
      <c r="G6" s="1">
        <v>100.0</v>
      </c>
      <c r="I6" s="1">
        <v>7.82</v>
      </c>
      <c r="J6" s="1">
        <v>7.91</v>
      </c>
      <c r="K6" s="1">
        <v>7.94</v>
      </c>
      <c r="L6" s="1">
        <v>7.89</v>
      </c>
      <c r="M6" s="1">
        <v>8.07</v>
      </c>
    </row>
    <row r="7">
      <c r="A7" s="1" t="s">
        <v>16</v>
      </c>
      <c r="B7" s="2">
        <v>1800.0</v>
      </c>
      <c r="C7" s="1">
        <v>1813.0</v>
      </c>
      <c r="D7" s="1">
        <v>13.0</v>
      </c>
      <c r="E7" s="4">
        <f t="shared" si="1"/>
        <v>39.55</v>
      </c>
      <c r="F7" s="1">
        <v>1.0</v>
      </c>
      <c r="G7" s="1">
        <v>100.0</v>
      </c>
      <c r="I7" s="1">
        <v>8.04</v>
      </c>
      <c r="J7" s="1">
        <v>7.89</v>
      </c>
      <c r="K7" s="1">
        <v>7.9</v>
      </c>
      <c r="L7" s="1">
        <v>7.86</v>
      </c>
      <c r="M7" s="1">
        <v>7.86</v>
      </c>
    </row>
    <row r="8">
      <c r="A8" s="1" t="s">
        <v>17</v>
      </c>
      <c r="B8" s="2">
        <v>1800.0</v>
      </c>
      <c r="C8" s="1">
        <v>1812.0</v>
      </c>
      <c r="D8" s="1">
        <v>12.0</v>
      </c>
      <c r="E8" s="4">
        <f t="shared" si="1"/>
        <v>39.33</v>
      </c>
      <c r="F8" s="1">
        <v>1.0</v>
      </c>
      <c r="G8" s="1">
        <v>100.0</v>
      </c>
      <c r="I8" s="1">
        <v>7.81</v>
      </c>
      <c r="J8" s="1">
        <v>7.82</v>
      </c>
      <c r="K8" s="1">
        <v>7.85</v>
      </c>
      <c r="L8" s="1">
        <v>7.89</v>
      </c>
      <c r="M8" s="1">
        <v>7.96</v>
      </c>
    </row>
    <row r="9">
      <c r="A9" s="1" t="s">
        <v>18</v>
      </c>
      <c r="B9" s="2">
        <v>1800.0</v>
      </c>
      <c r="C9" s="1">
        <v>1811.0</v>
      </c>
      <c r="D9" s="1">
        <v>11.0</v>
      </c>
      <c r="E9" s="4">
        <f t="shared" si="1"/>
        <v>41.73</v>
      </c>
      <c r="F9" s="1">
        <v>1.0</v>
      </c>
      <c r="G9" s="1">
        <v>100.0</v>
      </c>
      <c r="I9" s="1">
        <v>7.87</v>
      </c>
      <c r="J9" s="1">
        <v>8.01</v>
      </c>
      <c r="K9" s="1">
        <v>10.04</v>
      </c>
      <c r="L9" s="1">
        <v>7.86</v>
      </c>
      <c r="M9" s="1">
        <v>7.95</v>
      </c>
    </row>
    <row r="10">
      <c r="A10" s="1" t="s">
        <v>19</v>
      </c>
      <c r="B10" s="2">
        <v>1800.0</v>
      </c>
      <c r="C10" s="1">
        <v>1811.0</v>
      </c>
      <c r="D10" s="1">
        <v>11.0</v>
      </c>
      <c r="E10" s="4">
        <f t="shared" si="1"/>
        <v>44.01</v>
      </c>
      <c r="F10" s="1">
        <v>1.0</v>
      </c>
      <c r="G10" s="1">
        <v>100.0</v>
      </c>
      <c r="I10" s="1">
        <v>7.78</v>
      </c>
      <c r="J10" s="1">
        <v>7.82</v>
      </c>
      <c r="K10" s="1">
        <v>7.84</v>
      </c>
      <c r="L10" s="1">
        <v>12.62</v>
      </c>
      <c r="M10" s="1">
        <v>7.95</v>
      </c>
    </row>
    <row r="11">
      <c r="A11" s="1" t="s">
        <v>20</v>
      </c>
      <c r="B11" s="2">
        <v>1800.0</v>
      </c>
      <c r="C11" s="1">
        <v>1812.0</v>
      </c>
      <c r="D11" s="1">
        <v>12.0</v>
      </c>
      <c r="E11" s="4">
        <f t="shared" si="1"/>
        <v>39.17</v>
      </c>
      <c r="F11" s="1">
        <v>1.0</v>
      </c>
      <c r="G11" s="1">
        <v>100.0</v>
      </c>
      <c r="I11" s="1">
        <v>7.87</v>
      </c>
      <c r="J11" s="1">
        <v>7.84</v>
      </c>
      <c r="K11" s="1">
        <v>7.75</v>
      </c>
      <c r="L11" s="1">
        <v>7.8</v>
      </c>
      <c r="M11" s="1">
        <v>7.91</v>
      </c>
    </row>
    <row r="12">
      <c r="A12" s="1" t="s">
        <v>21</v>
      </c>
      <c r="B12" s="2">
        <v>1800.0</v>
      </c>
      <c r="C12" s="1">
        <v>1810.0</v>
      </c>
      <c r="D12" s="1">
        <v>10.0</v>
      </c>
      <c r="E12" s="4">
        <f t="shared" si="1"/>
        <v>38.95</v>
      </c>
      <c r="F12" s="1">
        <v>1.0</v>
      </c>
      <c r="G12" s="1">
        <v>100.0</v>
      </c>
      <c r="I12" s="1">
        <v>7.91</v>
      </c>
      <c r="J12" s="1">
        <v>7.54</v>
      </c>
      <c r="K12" s="1">
        <v>7.89</v>
      </c>
      <c r="L12" s="1">
        <v>7.81</v>
      </c>
      <c r="M12" s="1">
        <v>7.8</v>
      </c>
    </row>
    <row r="13">
      <c r="A13" s="1" t="s">
        <v>22</v>
      </c>
      <c r="B13" s="2">
        <v>1800.0</v>
      </c>
      <c r="C13" s="1">
        <v>1813.0</v>
      </c>
      <c r="D13" s="1">
        <v>13.0</v>
      </c>
      <c r="E13" s="4">
        <f t="shared" si="1"/>
        <v>39.43</v>
      </c>
      <c r="F13" s="1">
        <v>1.0</v>
      </c>
      <c r="G13" s="1">
        <v>100.0</v>
      </c>
      <c r="I13" s="1">
        <v>7.86</v>
      </c>
      <c r="J13" s="1">
        <v>7.9</v>
      </c>
      <c r="K13" s="1">
        <v>7.97</v>
      </c>
      <c r="L13" s="1">
        <v>7.7</v>
      </c>
      <c r="M13" s="1">
        <v>8.0</v>
      </c>
    </row>
    <row r="17">
      <c r="A17" s="1" t="s">
        <v>23</v>
      </c>
    </row>
    <row r="18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</row>
    <row r="19">
      <c r="A19" s="1" t="s">
        <v>13</v>
      </c>
      <c r="B19" s="2">
        <v>-1800.0</v>
      </c>
      <c r="C19" s="1">
        <v>-1805.0</v>
      </c>
      <c r="D19" s="1">
        <v>-5.0</v>
      </c>
      <c r="E19" s="4">
        <f t="shared" ref="E19:E28" si="2">sum(I19:M19)</f>
        <v>41.4</v>
      </c>
      <c r="F19" s="1">
        <v>1.0</v>
      </c>
      <c r="G19" s="1">
        <v>100.0</v>
      </c>
      <c r="I19" s="1">
        <v>10.01</v>
      </c>
      <c r="J19" s="1">
        <v>7.81</v>
      </c>
      <c r="K19" s="1">
        <v>7.73</v>
      </c>
      <c r="L19" s="1">
        <v>7.91</v>
      </c>
      <c r="M19" s="1">
        <v>7.94</v>
      </c>
    </row>
    <row r="20">
      <c r="A20" s="1" t="s">
        <v>14</v>
      </c>
      <c r="B20" s="2">
        <v>-1800.0</v>
      </c>
      <c r="C20" s="1">
        <v>-1803.0</v>
      </c>
      <c r="D20" s="1">
        <v>-3.0</v>
      </c>
      <c r="E20" s="4">
        <f t="shared" si="2"/>
        <v>41.72</v>
      </c>
      <c r="F20" s="1">
        <v>1.0</v>
      </c>
      <c r="G20" s="1">
        <v>100.0</v>
      </c>
      <c r="I20" s="1">
        <v>7.88</v>
      </c>
      <c r="J20" s="1">
        <v>7.78</v>
      </c>
      <c r="K20" s="1">
        <v>8.04</v>
      </c>
      <c r="L20" s="1">
        <v>7.72</v>
      </c>
      <c r="M20" s="1">
        <v>10.3</v>
      </c>
    </row>
    <row r="21">
      <c r="A21" s="1" t="s">
        <v>15</v>
      </c>
      <c r="B21" s="2">
        <v>-1800.0</v>
      </c>
      <c r="C21" s="1">
        <v>-1804.0</v>
      </c>
      <c r="D21" s="1">
        <v>-4.0</v>
      </c>
      <c r="E21" s="4">
        <f t="shared" si="2"/>
        <v>38.51</v>
      </c>
      <c r="F21" s="1">
        <v>1.0</v>
      </c>
      <c r="G21" s="1">
        <v>100.0</v>
      </c>
      <c r="I21" s="1">
        <v>7.24</v>
      </c>
      <c r="J21" s="1">
        <v>7.97</v>
      </c>
      <c r="K21" s="1">
        <v>7.71</v>
      </c>
      <c r="L21" s="1">
        <v>7.68</v>
      </c>
      <c r="M21" s="1">
        <v>7.91</v>
      </c>
    </row>
    <row r="22">
      <c r="A22" s="1" t="s">
        <v>16</v>
      </c>
      <c r="B22" s="2">
        <v>-1800.0</v>
      </c>
      <c r="C22" s="1">
        <v>-1805.0</v>
      </c>
      <c r="D22" s="1">
        <v>-5.0</v>
      </c>
      <c r="E22" s="4">
        <f t="shared" si="2"/>
        <v>38.88</v>
      </c>
      <c r="F22" s="1">
        <v>1.0</v>
      </c>
      <c r="G22" s="1">
        <v>100.0</v>
      </c>
      <c r="I22" s="1">
        <v>7.85</v>
      </c>
      <c r="J22" s="1">
        <v>7.78</v>
      </c>
      <c r="K22" s="1">
        <v>7.96</v>
      </c>
      <c r="L22" s="1">
        <v>7.78</v>
      </c>
      <c r="M22" s="1">
        <v>7.51</v>
      </c>
    </row>
    <row r="23">
      <c r="A23" s="1" t="s">
        <v>17</v>
      </c>
      <c r="B23" s="2">
        <v>-1800.0</v>
      </c>
      <c r="C23" s="1">
        <v>-1812.0</v>
      </c>
      <c r="D23" s="1">
        <v>-12.0</v>
      </c>
      <c r="E23" s="4">
        <f t="shared" si="2"/>
        <v>39.04</v>
      </c>
      <c r="F23" s="1">
        <v>1.0</v>
      </c>
      <c r="G23" s="1">
        <v>100.0</v>
      </c>
      <c r="I23" s="1">
        <v>7.94</v>
      </c>
      <c r="J23" s="1">
        <v>7.83</v>
      </c>
      <c r="K23" s="1">
        <v>7.88</v>
      </c>
      <c r="L23" s="1">
        <v>7.48</v>
      </c>
      <c r="M23" s="1">
        <v>7.91</v>
      </c>
    </row>
    <row r="24">
      <c r="A24" s="1" t="s">
        <v>18</v>
      </c>
      <c r="B24" s="2">
        <v>-1800.0</v>
      </c>
      <c r="C24" s="1">
        <v>-1810.0</v>
      </c>
      <c r="D24" s="1">
        <v>-10.0</v>
      </c>
      <c r="E24" s="4">
        <f t="shared" si="2"/>
        <v>39.43</v>
      </c>
      <c r="F24" s="1">
        <v>1.0</v>
      </c>
      <c r="G24" s="1">
        <v>100.0</v>
      </c>
      <c r="I24" s="1">
        <v>7.92</v>
      </c>
      <c r="J24" s="1">
        <v>7.96</v>
      </c>
      <c r="K24" s="1">
        <v>7.8</v>
      </c>
      <c r="L24" s="1">
        <v>7.83</v>
      </c>
      <c r="M24" s="1">
        <v>7.92</v>
      </c>
    </row>
    <row r="25">
      <c r="A25" s="1" t="s">
        <v>19</v>
      </c>
      <c r="B25" s="2">
        <v>-1800.0</v>
      </c>
      <c r="C25" s="1">
        <v>-1808.0</v>
      </c>
      <c r="D25" s="1">
        <v>-8.0</v>
      </c>
      <c r="E25" s="4">
        <f t="shared" si="2"/>
        <v>39.54</v>
      </c>
      <c r="F25" s="1">
        <v>1.0</v>
      </c>
      <c r="G25" s="1">
        <v>100.0</v>
      </c>
      <c r="I25" s="1">
        <v>7.87</v>
      </c>
      <c r="J25" s="1">
        <v>7.96</v>
      </c>
      <c r="K25" s="1">
        <v>7.86</v>
      </c>
      <c r="L25" s="1">
        <v>7.89</v>
      </c>
      <c r="M25" s="1">
        <v>7.96</v>
      </c>
    </row>
    <row r="26">
      <c r="A26" s="1" t="s">
        <v>20</v>
      </c>
      <c r="B26" s="2">
        <v>-1800.0</v>
      </c>
      <c r="C26" s="1">
        <v>-1811.0</v>
      </c>
      <c r="D26" s="1">
        <v>-11.0</v>
      </c>
      <c r="E26" s="4">
        <f t="shared" si="2"/>
        <v>39.46</v>
      </c>
      <c r="F26" s="1">
        <v>1.0</v>
      </c>
      <c r="G26" s="1">
        <v>100.0</v>
      </c>
      <c r="I26" s="1">
        <v>7.84</v>
      </c>
      <c r="J26" s="1">
        <v>7.95</v>
      </c>
      <c r="K26" s="1">
        <v>7.84</v>
      </c>
      <c r="L26" s="1">
        <v>8.01</v>
      </c>
      <c r="M26" s="1">
        <v>7.82</v>
      </c>
    </row>
    <row r="27">
      <c r="A27" s="1" t="s">
        <v>21</v>
      </c>
      <c r="B27" s="2">
        <v>-1800.0</v>
      </c>
      <c r="C27" s="1">
        <v>-1806.0</v>
      </c>
      <c r="D27" s="1">
        <v>-6.0</v>
      </c>
      <c r="E27" s="4">
        <f t="shared" si="2"/>
        <v>39.24</v>
      </c>
      <c r="F27" s="1">
        <v>1.0</v>
      </c>
      <c r="G27" s="1">
        <v>100.0</v>
      </c>
      <c r="I27" s="1">
        <v>7.92</v>
      </c>
      <c r="J27" s="1">
        <v>7.84</v>
      </c>
      <c r="K27" s="1">
        <v>7.85</v>
      </c>
      <c r="L27" s="1">
        <v>7.81</v>
      </c>
      <c r="M27" s="1">
        <v>7.82</v>
      </c>
    </row>
    <row r="28">
      <c r="A28" s="1" t="s">
        <v>22</v>
      </c>
      <c r="B28" s="2">
        <v>-1800.0</v>
      </c>
      <c r="C28" s="1">
        <v>-1805.0</v>
      </c>
      <c r="D28" s="1">
        <v>-5.0</v>
      </c>
      <c r="E28" s="4">
        <f t="shared" si="2"/>
        <v>43.7</v>
      </c>
      <c r="F28" s="1">
        <v>1.0</v>
      </c>
      <c r="G28" s="1">
        <v>100.0</v>
      </c>
      <c r="I28" s="1">
        <v>7.76</v>
      </c>
      <c r="J28" s="1">
        <v>7.85</v>
      </c>
      <c r="K28" s="1">
        <v>7.88</v>
      </c>
      <c r="L28" s="1">
        <v>12.45</v>
      </c>
      <c r="M28" s="1">
        <v>7.76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2">
      <c r="A2" s="1" t="s">
        <v>24</v>
      </c>
    </row>
    <row r="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</row>
    <row r="4">
      <c r="A4" s="1" t="s">
        <v>30</v>
      </c>
      <c r="B4" s="1">
        <v>-1.5</v>
      </c>
      <c r="C4" s="1">
        <v>-1.0</v>
      </c>
      <c r="D4" s="1">
        <v>11.65</v>
      </c>
      <c r="E4" s="2" t="s">
        <v>31</v>
      </c>
      <c r="K4" s="2"/>
    </row>
    <row r="5">
      <c r="A5" s="1" t="s">
        <v>32</v>
      </c>
      <c r="B5" s="1">
        <v>-1.0</v>
      </c>
      <c r="C5" s="1">
        <v>2.5</v>
      </c>
      <c r="D5" s="1">
        <v>11.69</v>
      </c>
      <c r="E5" s="2" t="s">
        <v>33</v>
      </c>
      <c r="K5" s="2"/>
    </row>
    <row r="6">
      <c r="A6" s="1" t="s">
        <v>34</v>
      </c>
      <c r="B6" s="1">
        <v>-2.0</v>
      </c>
      <c r="C6" s="1">
        <v>0.8</v>
      </c>
      <c r="D6" s="1">
        <v>11.57</v>
      </c>
    </row>
    <row r="7">
      <c r="A7" s="1" t="s">
        <v>35</v>
      </c>
      <c r="B7" s="1">
        <v>-1.0</v>
      </c>
      <c r="C7" s="1">
        <v>3.4</v>
      </c>
      <c r="D7" s="1">
        <v>11.71</v>
      </c>
    </row>
    <row r="8">
      <c r="A8" s="1" t="s">
        <v>36</v>
      </c>
      <c r="B8" s="1">
        <v>-2.5</v>
      </c>
      <c r="C8" s="1">
        <v>-0.7</v>
      </c>
      <c r="D8" s="1">
        <v>11.59</v>
      </c>
    </row>
    <row r="9">
      <c r="A9" s="1" t="s">
        <v>37</v>
      </c>
      <c r="B9" s="1">
        <v>-2.6</v>
      </c>
      <c r="C9" s="1">
        <v>-3.1</v>
      </c>
      <c r="D9" s="1">
        <v>11.61</v>
      </c>
    </row>
    <row r="10">
      <c r="A10" s="1" t="s">
        <v>38</v>
      </c>
      <c r="B10" s="1">
        <v>-2.7</v>
      </c>
      <c r="C10" s="1">
        <v>1.5</v>
      </c>
      <c r="D10" s="1">
        <v>11.62</v>
      </c>
    </row>
    <row r="11">
      <c r="A11" s="1" t="s">
        <v>39</v>
      </c>
      <c r="B11" s="1">
        <v>-0.3</v>
      </c>
      <c r="C11" s="1">
        <v>3.0</v>
      </c>
      <c r="D11" s="1">
        <v>11.68</v>
      </c>
    </row>
    <row r="12">
      <c r="A12" s="1" t="s">
        <v>40</v>
      </c>
      <c r="B12" s="1">
        <v>-2.5</v>
      </c>
      <c r="C12" s="1">
        <v>3.0</v>
      </c>
      <c r="D12" s="1">
        <v>11.62</v>
      </c>
    </row>
    <row r="13">
      <c r="A13" s="1" t="s">
        <v>41</v>
      </c>
      <c r="B13" s="1">
        <v>-2.7</v>
      </c>
      <c r="C13" s="1">
        <v>-3.5</v>
      </c>
      <c r="D13" s="1">
        <v>11.66</v>
      </c>
    </row>
    <row r="15">
      <c r="A15" s="1" t="s">
        <v>42</v>
      </c>
    </row>
    <row r="16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29</v>
      </c>
    </row>
    <row r="17">
      <c r="A17" s="1" t="s">
        <v>30</v>
      </c>
      <c r="B17" s="1">
        <v>-2.5</v>
      </c>
      <c r="C17" s="1">
        <v>11.0</v>
      </c>
      <c r="D17" s="1">
        <v>11.53</v>
      </c>
      <c r="E17" s="2" t="s">
        <v>43</v>
      </c>
      <c r="K17" s="2"/>
    </row>
    <row r="18">
      <c r="A18" s="1" t="s">
        <v>32</v>
      </c>
      <c r="B18" s="1">
        <v>-0.5</v>
      </c>
      <c r="C18" s="1">
        <v>16.5</v>
      </c>
      <c r="D18" s="1">
        <v>11.51</v>
      </c>
      <c r="E18" s="2" t="s">
        <v>44</v>
      </c>
      <c r="K18" s="2"/>
    </row>
    <row r="19">
      <c r="A19" s="1" t="s">
        <v>34</v>
      </c>
      <c r="B19" s="1">
        <v>-1.0</v>
      </c>
      <c r="C19" s="1">
        <v>8.5</v>
      </c>
      <c r="D19" s="1">
        <v>11.58</v>
      </c>
    </row>
    <row r="20">
      <c r="A20" s="1" t="s">
        <v>35</v>
      </c>
      <c r="B20" s="1">
        <v>-2.2</v>
      </c>
      <c r="C20" s="1">
        <v>10.0</v>
      </c>
      <c r="D20" s="1">
        <v>11.57</v>
      </c>
    </row>
    <row r="21">
      <c r="A21" s="1" t="s">
        <v>36</v>
      </c>
      <c r="B21" s="1">
        <v>-1.0</v>
      </c>
      <c r="C21" s="1">
        <v>9.5</v>
      </c>
      <c r="D21" s="1">
        <v>11.42</v>
      </c>
    </row>
    <row r="22">
      <c r="A22" s="1" t="s">
        <v>37</v>
      </c>
      <c r="B22" s="1">
        <v>-1.2</v>
      </c>
      <c r="C22" s="1">
        <v>17.0</v>
      </c>
      <c r="D22" s="1">
        <v>11.56</v>
      </c>
    </row>
    <row r="23">
      <c r="A23" s="1" t="s">
        <v>38</v>
      </c>
      <c r="B23" s="1">
        <v>-2.0</v>
      </c>
      <c r="C23" s="1">
        <v>20.2</v>
      </c>
      <c r="D23" s="1">
        <v>11.64</v>
      </c>
    </row>
    <row r="24">
      <c r="A24" s="1" t="s">
        <v>39</v>
      </c>
      <c r="B24" s="1">
        <v>-2.7</v>
      </c>
      <c r="C24" s="1">
        <v>8.3</v>
      </c>
      <c r="D24" s="1">
        <v>11.57</v>
      </c>
    </row>
    <row r="25">
      <c r="A25" s="1" t="s">
        <v>40</v>
      </c>
      <c r="B25" s="1">
        <v>-0.7</v>
      </c>
      <c r="C25" s="1">
        <v>20.8</v>
      </c>
      <c r="D25" s="1">
        <v>11.56</v>
      </c>
    </row>
    <row r="26">
      <c r="A26" s="1" t="s">
        <v>41</v>
      </c>
      <c r="B26" s="1">
        <v>-3.0</v>
      </c>
      <c r="C26" s="1">
        <v>16.6</v>
      </c>
      <c r="D26" s="1">
        <v>11.62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2">
      <c r="A2" s="1" t="s">
        <v>45</v>
      </c>
    </row>
    <row r="3">
      <c r="A3" s="1" t="s">
        <v>46</v>
      </c>
      <c r="B3" s="1" t="s">
        <v>47</v>
      </c>
      <c r="C3" s="1" t="s">
        <v>48</v>
      </c>
      <c r="D3" s="1" t="s">
        <v>28</v>
      </c>
      <c r="E3" s="1" t="s">
        <v>29</v>
      </c>
    </row>
    <row r="4">
      <c r="A4" s="1" t="s">
        <v>30</v>
      </c>
      <c r="B4" s="1">
        <v>-0.5</v>
      </c>
      <c r="C4" s="1">
        <v>2.0</v>
      </c>
      <c r="D4" s="1">
        <v>8.53</v>
      </c>
      <c r="E4" s="2" t="s">
        <v>49</v>
      </c>
    </row>
    <row r="5">
      <c r="A5" s="1" t="s">
        <v>32</v>
      </c>
      <c r="B5" s="1">
        <v>-7.5</v>
      </c>
      <c r="C5" s="1">
        <v>1.5</v>
      </c>
      <c r="D5" s="1">
        <v>8.58</v>
      </c>
      <c r="E5" s="2" t="s">
        <v>50</v>
      </c>
    </row>
    <row r="6">
      <c r="A6" s="1" t="s">
        <v>34</v>
      </c>
      <c r="B6" s="1">
        <v>0.0</v>
      </c>
      <c r="C6" s="1">
        <v>1.4</v>
      </c>
      <c r="D6" s="1">
        <v>8.72</v>
      </c>
    </row>
    <row r="7">
      <c r="A7" s="1" t="s">
        <v>35</v>
      </c>
      <c r="B7" s="1">
        <v>1.2</v>
      </c>
      <c r="C7" s="1">
        <v>6.0</v>
      </c>
      <c r="D7" s="1">
        <v>8.65</v>
      </c>
    </row>
    <row r="8">
      <c r="A8" s="1" t="s">
        <v>36</v>
      </c>
      <c r="B8" s="1">
        <v>1.0</v>
      </c>
      <c r="C8" s="1">
        <v>5.8</v>
      </c>
      <c r="D8" s="1">
        <v>8.62</v>
      </c>
    </row>
    <row r="9">
      <c r="A9" s="1" t="s">
        <v>37</v>
      </c>
      <c r="B9" s="1">
        <v>-1.5</v>
      </c>
      <c r="C9" s="1">
        <v>6.2</v>
      </c>
      <c r="D9" s="1">
        <v>8.73</v>
      </c>
    </row>
    <row r="10">
      <c r="A10" s="1" t="s">
        <v>38</v>
      </c>
      <c r="B10" s="1">
        <v>0.5</v>
      </c>
      <c r="C10" s="1">
        <v>6.0</v>
      </c>
      <c r="D10" s="1">
        <v>8.74</v>
      </c>
    </row>
    <row r="11">
      <c r="A11" s="1" t="s">
        <v>39</v>
      </c>
      <c r="B11" s="1">
        <v>-6.0</v>
      </c>
      <c r="C11" s="1">
        <v>5.5</v>
      </c>
      <c r="D11" s="1">
        <v>8.75</v>
      </c>
    </row>
    <row r="12">
      <c r="A12" s="1" t="s">
        <v>40</v>
      </c>
      <c r="B12" s="1">
        <v>-1.7</v>
      </c>
      <c r="C12" s="1">
        <v>4.5</v>
      </c>
      <c r="D12" s="1">
        <v>8.74</v>
      </c>
    </row>
    <row r="13">
      <c r="A13" s="1" t="s">
        <v>41</v>
      </c>
      <c r="B13" s="1">
        <v>-5.0</v>
      </c>
      <c r="C13" s="1">
        <v>2.5</v>
      </c>
      <c r="D13" s="1">
        <v>8.6</v>
      </c>
    </row>
    <row r="15">
      <c r="A15" s="1" t="s">
        <v>51</v>
      </c>
    </row>
    <row r="16">
      <c r="A16" s="1" t="s">
        <v>52</v>
      </c>
      <c r="B16" s="1" t="s">
        <v>47</v>
      </c>
      <c r="C16" s="1" t="s">
        <v>48</v>
      </c>
      <c r="D16" s="1" t="s">
        <v>28</v>
      </c>
      <c r="E16" s="1" t="s">
        <v>29</v>
      </c>
    </row>
    <row r="17">
      <c r="A17" s="1" t="s">
        <v>30</v>
      </c>
      <c r="B17" s="1">
        <v>-6.0</v>
      </c>
      <c r="C17" s="1">
        <v>11.0</v>
      </c>
      <c r="D17" s="1">
        <v>8.76</v>
      </c>
      <c r="E17" s="2" t="s">
        <v>49</v>
      </c>
    </row>
    <row r="18">
      <c r="A18" s="1" t="s">
        <v>32</v>
      </c>
      <c r="B18" s="1">
        <v>0.7</v>
      </c>
      <c r="C18" s="1">
        <v>1.4</v>
      </c>
      <c r="D18" s="1">
        <v>8.51</v>
      </c>
      <c r="E18" s="2" t="s">
        <v>53</v>
      </c>
    </row>
    <row r="19">
      <c r="A19" s="1" t="s">
        <v>34</v>
      </c>
      <c r="B19" s="1">
        <v>-2.5</v>
      </c>
      <c r="C19" s="1">
        <v>6.0</v>
      </c>
      <c r="D19" s="1">
        <v>8.85</v>
      </c>
    </row>
    <row r="20">
      <c r="A20" s="1" t="s">
        <v>35</v>
      </c>
      <c r="B20" s="1">
        <v>-5.0</v>
      </c>
      <c r="C20" s="1">
        <v>5.4</v>
      </c>
      <c r="D20" s="1">
        <v>8.72</v>
      </c>
    </row>
    <row r="21">
      <c r="A21" s="1" t="s">
        <v>36</v>
      </c>
      <c r="B21" s="1">
        <v>-5.8</v>
      </c>
      <c r="C21" s="1">
        <v>6.5</v>
      </c>
      <c r="D21" s="1">
        <v>9.02</v>
      </c>
    </row>
    <row r="22">
      <c r="A22" s="1" t="s">
        <v>37</v>
      </c>
      <c r="B22" s="1">
        <v>-3.5</v>
      </c>
      <c r="C22" s="1">
        <v>4.5</v>
      </c>
      <c r="D22" s="1">
        <v>8.53</v>
      </c>
    </row>
    <row r="23">
      <c r="A23" s="1" t="s">
        <v>38</v>
      </c>
      <c r="B23" s="1">
        <v>-9.4</v>
      </c>
      <c r="C23" s="1">
        <v>8.8</v>
      </c>
      <c r="D23" s="1">
        <v>8.82</v>
      </c>
    </row>
    <row r="24">
      <c r="A24" s="1" t="s">
        <v>39</v>
      </c>
      <c r="B24" s="1">
        <v>-14.5</v>
      </c>
      <c r="C24" s="1">
        <v>9.5</v>
      </c>
      <c r="D24" s="1">
        <v>8.85</v>
      </c>
    </row>
    <row r="25">
      <c r="A25" s="1" t="s">
        <v>40</v>
      </c>
      <c r="B25" s="1">
        <v>-7.5</v>
      </c>
      <c r="C25" s="1">
        <v>9.5</v>
      </c>
      <c r="D25" s="1">
        <v>8.74</v>
      </c>
    </row>
    <row r="26">
      <c r="A26" s="1" t="s">
        <v>41</v>
      </c>
      <c r="B26" s="1">
        <v>-1.3</v>
      </c>
      <c r="C26" s="1">
        <v>5.0</v>
      </c>
      <c r="D26" s="1">
        <v>8.72</v>
      </c>
    </row>
  </sheetData>
  <drawing r:id="rId1"/>
</worksheet>
</file>